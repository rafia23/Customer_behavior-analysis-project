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363BFCF-6AC7-4F60-8D32-D1DBC0BBEC23}" xr6:coauthVersionLast="47" xr6:coauthVersionMax="47" xr10:uidLastSave="{00000000-0000-0000-0000-000000000000}"/>
  <bookViews>
    <workbookView xWindow="-108" yWindow="-108" windowWidth="23256" windowHeight="12576" xr2:uid="{54C5A9A5-9D68-4F28-AB14-F583850BA1CB}"/>
  </bookViews>
  <sheets>
    <sheet name="Report" sheetId="1" r:id="rId1"/>
    <sheet name="Data" sheetId="3" r:id="rId2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7" i="1" l="1"/>
  <c r="D21" i="1"/>
  <c r="D20" i="1"/>
  <c r="D19" i="1"/>
  <c r="D18" i="1"/>
  <c r="D17" i="1"/>
  <c r="C21" i="1"/>
  <c r="C20" i="1"/>
  <c r="G20" i="1" s="1"/>
  <c r="C19" i="1"/>
  <c r="C18" i="1"/>
  <c r="G18" i="1" s="1"/>
  <c r="C17" i="1"/>
  <c r="G24" i="1"/>
  <c r="B17" i="1" a="1"/>
  <c r="B17" i="1" s="1"/>
  <c r="E13" i="1"/>
  <c r="G25" i="1" s="1"/>
  <c r="G26" i="1" s="1"/>
  <c r="B13" i="1"/>
  <c r="F13" i="1" s="1"/>
  <c r="C9" i="1"/>
  <c r="C8" i="1"/>
  <c r="C7" i="1"/>
  <c r="K3" i="3"/>
  <c r="G29" i="1" s="1"/>
  <c r="K4" i="3"/>
  <c r="K5" i="3"/>
  <c r="K6" i="3"/>
  <c r="K7" i="3"/>
  <c r="K8" i="3"/>
  <c r="K9" i="3"/>
  <c r="K10" i="3"/>
  <c r="K11" i="3"/>
  <c r="K12" i="3"/>
  <c r="Q3" i="3"/>
  <c r="C13" i="1" s="1"/>
  <c r="Q4" i="3"/>
  <c r="Q5" i="3"/>
  <c r="Q6" i="3"/>
  <c r="Q7" i="3"/>
  <c r="Q8" i="3"/>
  <c r="Q9" i="3"/>
  <c r="Q10" i="3"/>
  <c r="Q11" i="3"/>
  <c r="Q12" i="3"/>
  <c r="B32" i="1" l="1"/>
  <c r="G28" i="1"/>
  <c r="E17" i="1"/>
  <c r="F17" i="1" s="1"/>
  <c r="E19" i="1"/>
  <c r="F19" i="1" s="1"/>
  <c r="G17" i="1"/>
  <c r="E21" i="1"/>
  <c r="F21" i="1" s="1"/>
  <c r="G19" i="1"/>
  <c r="D24" i="1"/>
  <c r="C24" i="1" s="1"/>
  <c r="E18" i="1"/>
  <c r="D25" i="1"/>
  <c r="C25" i="1" s="1"/>
  <c r="E20" i="1"/>
  <c r="F20" i="1" s="1"/>
  <c r="G13" i="1"/>
  <c r="D26" i="1"/>
  <c r="C26" i="1" s="1"/>
  <c r="D27" i="1"/>
  <c r="C27" i="1" s="1"/>
  <c r="G21" i="1"/>
  <c r="D13" i="1"/>
  <c r="D28" i="1" l="1"/>
  <c r="C28" i="1" s="1" a="1"/>
  <c r="C28" i="1" s="1"/>
  <c r="F18" i="1"/>
  <c r="D29" i="1"/>
  <c r="C29" i="1" s="1" a="1"/>
  <c r="C2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<sst xmlns="http://schemas.openxmlformats.org/spreadsheetml/2006/main" count="83" uniqueCount="71">
  <si>
    <t>Student Report Card</t>
  </si>
  <si>
    <t>Student:</t>
  </si>
  <si>
    <t>ID:</t>
  </si>
  <si>
    <t>Avg Score</t>
  </si>
  <si>
    <t>Prior Avg</t>
  </si>
  <si>
    <t>Trend</t>
  </si>
  <si>
    <t>Attendance</t>
  </si>
  <si>
    <t>Class Rank</t>
  </si>
  <si>
    <t>Grade</t>
  </si>
  <si>
    <t>Subject</t>
  </si>
  <si>
    <t>Current</t>
  </si>
  <si>
    <t>Prior</t>
  </si>
  <si>
    <t>Change</t>
  </si>
  <si>
    <t>Student ID</t>
  </si>
  <si>
    <t>Name</t>
  </si>
  <si>
    <t>Math</t>
  </si>
  <si>
    <t>Science</t>
  </si>
  <si>
    <t>English</t>
  </si>
  <si>
    <t>History</t>
  </si>
  <si>
    <t>Art</t>
  </si>
  <si>
    <t>Math (Prior)</t>
  </si>
  <si>
    <t>Science (Prior)</t>
  </si>
  <si>
    <t>English (Prior)</t>
  </si>
  <si>
    <t>History (Prior)</t>
  </si>
  <si>
    <t>Art (Prior)</t>
  </si>
  <si>
    <t>Attendance %</t>
  </si>
  <si>
    <t>Days Absent</t>
  </si>
  <si>
    <t>S001</t>
  </si>
  <si>
    <t>Emma Johnson</t>
  </si>
  <si>
    <t>10-A</t>
  </si>
  <si>
    <t>S002</t>
  </si>
  <si>
    <t>Liam Smith</t>
  </si>
  <si>
    <t>S003</t>
  </si>
  <si>
    <t>Olivia Brown</t>
  </si>
  <si>
    <t>10-B</t>
  </si>
  <si>
    <t>S004</t>
  </si>
  <si>
    <t>Noah Davis</t>
  </si>
  <si>
    <t>S005</t>
  </si>
  <si>
    <t>Ava Wilson</t>
  </si>
  <si>
    <t>S006</t>
  </si>
  <si>
    <t>Ethan Garcia</t>
  </si>
  <si>
    <t>10-C</t>
  </si>
  <si>
    <t>S007</t>
  </si>
  <si>
    <t>Sophia Martinez</t>
  </si>
  <si>
    <t>S008</t>
  </si>
  <si>
    <t>Mason Anderson</t>
  </si>
  <si>
    <t>S009</t>
  </si>
  <si>
    <t>Isabella Taylor</t>
  </si>
  <si>
    <t>S010</t>
  </si>
  <si>
    <t>James Thomas</t>
  </si>
  <si>
    <t>STRENGTHS &amp; FOCUS AREAS</t>
  </si>
  <si>
    <t>ATTENDANCE</t>
  </si>
  <si>
    <t>TEACHER'S COMMENTS</t>
  </si>
  <si>
    <t>Year:</t>
  </si>
  <si>
    <t>Classroom:</t>
  </si>
  <si>
    <t>KEY METRICS</t>
  </si>
  <si>
    <t>SUBJECT BREAKDOWN</t>
  </si>
  <si>
    <t>Average</t>
  </si>
  <si>
    <t>Average2</t>
  </si>
  <si>
    <t>Year</t>
  </si>
  <si>
    <t>Classroom</t>
  </si>
  <si>
    <t>Top Strength</t>
  </si>
  <si>
    <t>2nd Strength</t>
  </si>
  <si>
    <t>Lowest</t>
  </si>
  <si>
    <t>2nd Lowest</t>
  </si>
  <si>
    <t>Most Improved</t>
  </si>
  <si>
    <t>Biggest Drop</t>
  </si>
  <si>
    <t>vs. Class Attendance</t>
  </si>
  <si>
    <t>Class avg %</t>
  </si>
  <si>
    <t>vs. Class Score</t>
  </si>
  <si>
    <t>Class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</si>
</sst>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\+0;\-0;0"/>
    <numFmt numFmtId="167" formatCode="\+0.0%;\-0.0%;0.0%"/>
    <numFmt numFmtId="168" formatCode="\+0.0;\-0.0;0"/>
  </numFmts>
  <fonts count="2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rgb="FF073673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808080"/>
      <name val="Aptos Narrow"/>
      <family val="2"/>
      <scheme val="minor"/>
    </font>
    <font>
      <sz val="10"/>
      <color rgb="FF80808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073673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26"/>
      <color theme="4" tint="-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auto="1"/>
      </right>
      <top/>
      <bottom style="thin">
        <color rgb="FFD9D9D9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8" fillId="0" borderId="0" applyNumberForma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6" xfId="0" applyFont="1" applyBorder="1" applyAlignment="1">
      <alignment horizontal="center"/>
    </xf>
    <xf numFmtId="0" fontId="7" fillId="0" borderId="0" xfId="0" applyFont="1"/>
    <xf numFmtId="0" fontId="11" fillId="0" borderId="0" xfId="0" applyFont="1"/>
    <xf numFmtId="0" fontId="0" fillId="0" borderId="14" xfId="0" applyBorder="1"/>
    <xf numFmtId="0" fontId="11" fillId="0" borderId="14" xfId="0" applyFont="1" applyBorder="1"/>
    <xf numFmtId="0" fontId="5" fillId="0" borderId="0" xfId="2"/>
    <xf numFmtId="0" fontId="6" fillId="0" borderId="0" xfId="0" applyFont="1" applyAlignment="1">
      <alignment vertical="top"/>
    </xf>
    <xf numFmtId="0" fontId="14" fillId="0" borderId="0" xfId="0" applyFont="1"/>
    <xf numFmtId="0" fontId="15" fillId="0" borderId="0" xfId="0" applyFont="1"/>
    <xf numFmtId="1" fontId="10" fillId="0" borderId="12" xfId="0" applyNumberFormat="1" applyFont="1" applyBorder="1" applyAlignment="1">
      <alignment horizontal="center"/>
    </xf>
    <xf numFmtId="164" fontId="10" fillId="0" borderId="12" xfId="0" applyNumberFormat="1" applyFont="1" applyBorder="1" applyAlignment="1">
      <alignment horizontal="center"/>
    </xf>
    <xf numFmtId="167" fontId="10" fillId="0" borderId="12" xfId="0" applyNumberFormat="1" applyFont="1" applyBorder="1" applyAlignment="1">
      <alignment horizontal="center"/>
    </xf>
    <xf numFmtId="164" fontId="12" fillId="0" borderId="12" xfId="0" applyNumberFormat="1" applyFont="1" applyBorder="1" applyAlignment="1">
      <alignment horizontal="center"/>
    </xf>
    <xf numFmtId="168" fontId="10" fillId="0" borderId="12" xfId="0" applyNumberFormat="1" applyFont="1" applyBorder="1" applyAlignment="1">
      <alignment horizontal="center"/>
    </xf>
    <xf numFmtId="165" fontId="12" fillId="0" borderId="15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2" applyFill="1" applyBorder="1" applyAlignment="1">
      <alignment horizontal="center"/>
    </xf>
    <xf numFmtId="0" fontId="5" fillId="0" borderId="0" xfId="2" applyFill="1" applyBorder="1"/>
    <xf numFmtId="0" fontId="0" fillId="5" borderId="0" xfId="0" applyFill="1"/>
    <xf numFmtId="0" fontId="0" fillId="6" borderId="0" xfId="0" applyFill="1"/>
    <xf numFmtId="0" fontId="19" fillId="6" borderId="8" xfId="0" applyFont="1" applyFill="1" applyBorder="1" applyAlignment="1">
      <alignment horizontal="left"/>
    </xf>
    <xf numFmtId="0" fontId="16" fillId="6" borderId="9" xfId="0" applyFont="1" applyFill="1" applyBorder="1"/>
    <xf numFmtId="0" fontId="19" fillId="6" borderId="9" xfId="0" applyFont="1" applyFill="1" applyBorder="1" applyAlignment="1">
      <alignment horizontal="left"/>
    </xf>
    <xf numFmtId="0" fontId="16" fillId="6" borderId="10" xfId="0" applyFont="1" applyFill="1" applyBorder="1"/>
    <xf numFmtId="0" fontId="7" fillId="5" borderId="11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20" fillId="0" borderId="0" xfId="0" applyFont="1"/>
    <xf numFmtId="0" fontId="21" fillId="0" borderId="0" xfId="0" applyFont="1" applyAlignment="1">
      <alignment vertical="top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64" fontId="8" fillId="0" borderId="22" xfId="1" applyNumberFormat="1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7" fillId="8" borderId="11" xfId="0" applyFont="1" applyFill="1" applyBorder="1" applyAlignment="1">
      <alignment horizontal="left" indent="1"/>
    </xf>
    <xf numFmtId="0" fontId="10" fillId="8" borderId="0" xfId="0" applyFont="1" applyFill="1" applyAlignment="1">
      <alignment horizontal="center"/>
    </xf>
    <xf numFmtId="1" fontId="10" fillId="8" borderId="0" xfId="0" applyNumberFormat="1" applyFont="1" applyFill="1" applyAlignment="1">
      <alignment horizontal="center"/>
    </xf>
    <xf numFmtId="0" fontId="7" fillId="9" borderId="11" xfId="0" applyFont="1" applyFill="1" applyBorder="1" applyAlignment="1">
      <alignment horizontal="left" indent="1"/>
    </xf>
    <xf numFmtId="0" fontId="10" fillId="9" borderId="0" xfId="0" applyFont="1" applyFill="1" applyAlignment="1">
      <alignment horizontal="center"/>
    </xf>
    <xf numFmtId="1" fontId="10" fillId="9" borderId="0" xfId="0" applyNumberFormat="1" applyFont="1" applyFill="1" applyAlignment="1">
      <alignment horizontal="center"/>
    </xf>
    <xf numFmtId="0" fontId="7" fillId="4" borderId="11" xfId="0" applyFont="1" applyFill="1" applyBorder="1" applyAlignment="1">
      <alignment horizontal="left" indent="1"/>
    </xf>
    <xf numFmtId="0" fontId="10" fillId="4" borderId="0" xfId="0" applyFont="1" applyFill="1" applyAlignment="1">
      <alignment horizontal="center"/>
    </xf>
    <xf numFmtId="166" fontId="10" fillId="4" borderId="0" xfId="0" applyNumberFormat="1" applyFont="1" applyFill="1" applyAlignment="1">
      <alignment horizontal="center"/>
    </xf>
    <xf numFmtId="0" fontId="7" fillId="4" borderId="13" xfId="0" applyFont="1" applyFill="1" applyBorder="1" applyAlignment="1">
      <alignment horizontal="left" indent="1"/>
    </xf>
    <xf numFmtId="0" fontId="10" fillId="4" borderId="14" xfId="0" applyFont="1" applyFill="1" applyBorder="1" applyAlignment="1">
      <alignment horizontal="center"/>
    </xf>
    <xf numFmtId="166" fontId="10" fillId="4" borderId="14" xfId="0" applyNumberFormat="1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13" fillId="0" borderId="13" xfId="0" applyFont="1" applyBorder="1" applyAlignment="1">
      <alignment horizontal="left" vertical="top" wrapText="1"/>
    </xf>
    <xf numFmtId="0" fontId="13" fillId="0" borderId="14" xfId="0" applyFont="1" applyBorder="1" applyAlignment="1">
      <alignment horizontal="left" vertical="top" wrapText="1"/>
    </xf>
    <xf numFmtId="0" fontId="13" fillId="0" borderId="15" xfId="0" applyFont="1" applyBorder="1" applyAlignment="1">
      <alignment horizontal="left" vertical="top" wrapText="1"/>
    </xf>
    <xf numFmtId="0" fontId="4" fillId="0" borderId="24" xfId="0" applyFont="1" applyBorder="1"/>
    <xf numFmtId="1" fontId="0" fillId="0" borderId="25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19" fillId="6" borderId="23" xfId="0" applyFont="1" applyFill="1" applyBorder="1"/>
    <xf numFmtId="0" fontId="4" fillId="6" borderId="22" xfId="0" applyFont="1" applyFill="1" applyBorder="1"/>
    <xf numFmtId="0" fontId="4" fillId="6" borderId="21" xfId="0" applyFont="1" applyFill="1" applyBorder="1"/>
  </cellXfs>
  <cellStyles count="5">
    <cellStyle name="Hyperlink" xfId="2" builtinId="8"/>
    <cellStyle name="Hyperlink 2" xfId="4" xr:uid="{928794EF-4261-FB45-B122-50235FE0296D}"/>
    <cellStyle name="Normal" xfId="0" builtinId="0"/>
    <cellStyle name="Normal 2 2" xfId="3" xr:uid="{3F3248CC-66AA-4249-AA59-14543E7E3A60}"/>
    <cellStyle name="Percent" xfId="1" builtinId="5"/>
  </cellStyles>
  <dxfs count="0"/>
  <tableStyles count="0" defaultTableStyle="TableStyleMedium2" defaultPivotStyle="PivotStyleLight16"/>
  <colors>
    <mruColors>
      <color rgb="FFEF6767"/>
      <color rgb="FFFFF2CC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4E2B-455C-498A-B1AC-478884677F65}">
  <dimension ref="B1:I32"/>
  <sheetViews>
    <sheetView showGridLines="0" showRowColHeaders="0" tabSelected="1" zoomScale="85" zoomScaleNormal="130" workbookViewId="0">
      <selection activeCell="C6" sqref="C6"/>
    </sheetView>
  </sheetViews>
  <sheetFormatPr defaultColWidth="8.796875" defaultRowHeight="13.8"/>
  <cols>
    <col min="1" max="1" width="5.296875" customWidth="1"/>
    <col min="2" max="5" width="15.796875" customWidth="1"/>
    <col min="6" max="6" width="18.296875" customWidth="1"/>
    <col min="7" max="7" width="15.796875" customWidth="1"/>
  </cols>
  <sheetData>
    <row r="1" spans="2:7" ht="15.6" customHeight="1"/>
    <row r="2" spans="2:7" ht="9.6" customHeight="1">
      <c r="B2" s="33"/>
      <c r="C2" s="33"/>
      <c r="D2" s="33"/>
      <c r="E2" s="33"/>
      <c r="F2" s="33"/>
      <c r="G2" s="33"/>
    </row>
    <row r="3" spans="2:7" ht="6" customHeight="1">
      <c r="B3" s="32"/>
      <c r="C3" s="32"/>
      <c r="D3" s="32"/>
      <c r="E3" s="32"/>
      <c r="F3" s="32"/>
      <c r="G3" s="32"/>
    </row>
    <row r="4" spans="2:7" s="41" customFormat="1" ht="33">
      <c r="B4" s="42" t="s">
        <v>0</v>
      </c>
    </row>
    <row r="5" spans="2:7" ht="6" customHeight="1">
      <c r="B5" s="12"/>
    </row>
    <row r="6" spans="2:7" ht="14.4">
      <c r="B6" t="s">
        <v>1</v>
      </c>
      <c r="C6" s="44" t="s">
        <v>28</v>
      </c>
      <c r="D6" s="14"/>
    </row>
    <row r="7" spans="2:7">
      <c r="B7" t="s">
        <v>2</v>
      </c>
      <c r="C7" s="45" t="str">
        <f>_xlfn.XLOOKUP($C$6,Data!C3:C12,Data!B3:B12)</f>
        <v>S001</v>
      </c>
    </row>
    <row r="8" spans="2:7">
      <c r="B8" t="s">
        <v>53</v>
      </c>
      <c r="C8" s="45">
        <f>_xlfn.XLOOKUP($C$6,Data!C3:C12,Data!D3:D12)</f>
        <v>10</v>
      </c>
    </row>
    <row r="9" spans="2:7">
      <c r="B9" t="s">
        <v>54</v>
      </c>
      <c r="C9" s="43" t="str">
        <f>_xlfn.XLOOKUP($C$6,Data!C3:C12,Data!E3:E12)</f>
        <v>10-A</v>
      </c>
    </row>
    <row r="11" spans="2:7">
      <c r="B11" s="76" t="s">
        <v>55</v>
      </c>
      <c r="C11" s="77"/>
      <c r="D11" s="77"/>
      <c r="E11" s="77"/>
      <c r="F11" s="77"/>
      <c r="G11" s="78"/>
    </row>
    <row r="12" spans="2:7">
      <c r="B12" s="38" t="s">
        <v>3</v>
      </c>
      <c r="C12" s="39" t="s">
        <v>4</v>
      </c>
      <c r="D12" s="39" t="s">
        <v>5</v>
      </c>
      <c r="E12" s="39" t="s">
        <v>6</v>
      </c>
      <c r="F12" s="39" t="s">
        <v>7</v>
      </c>
      <c r="G12" s="40" t="s">
        <v>8</v>
      </c>
    </row>
    <row r="13" spans="2:7" s="2" customFormat="1" ht="33.450000000000003" customHeight="1">
      <c r="B13" s="50">
        <f>_xlfn.XLOOKUP($C$6,Data!C3:C12,Data!K3:K12)</f>
        <v>90</v>
      </c>
      <c r="C13" s="47">
        <f>_xlfn.XLOOKUP($C$6,Data!C3:C12,Data!Q3:Q12)</f>
        <v>87</v>
      </c>
      <c r="D13" s="47" t="str">
        <f>IF(B13&gt;=C13,"🔺","🔻")</f>
        <v>🔺</v>
      </c>
      <c r="E13" s="48">
        <f>_xlfn.XLOOKUP($C$6,Data!C3:C12,Data!R3:R12)</f>
        <v>0.97</v>
      </c>
      <c r="F13" s="49" t="str">
        <f>"#"&amp;_xlfn.RANK.EQ(B13,Data!K3:K12)&amp;" of "&amp;COUNTA(Data!K3:K12)</f>
        <v>#3 of 10</v>
      </c>
      <c r="G13" s="46" t="str">
        <f>IF(B13&gt;=90,"A",IF(B13&gt;=80,"B",IF(B13&gt;=70,"C",IF(B13&gt;=60,"D","F"))))</f>
        <v>A</v>
      </c>
    </row>
    <row r="15" spans="2:7">
      <c r="B15" s="76" t="s">
        <v>56</v>
      </c>
      <c r="C15" s="76"/>
      <c r="D15" s="76"/>
      <c r="E15" s="76"/>
      <c r="F15" s="76"/>
      <c r="G15" s="76"/>
    </row>
    <row r="16" spans="2:7">
      <c r="B16" s="73" t="s">
        <v>9</v>
      </c>
      <c r="C16" s="74" t="s">
        <v>10</v>
      </c>
      <c r="D16" s="74" t="s">
        <v>11</v>
      </c>
      <c r="E16" s="74" t="s">
        <v>12</v>
      </c>
      <c r="F16" s="74" t="s">
        <v>5</v>
      </c>
      <c r="G16" s="75" t="s">
        <v>8</v>
      </c>
    </row>
    <row r="17" spans="2:9" ht="15">
      <c r="B17" s="68" t="str" cm="1">
        <f t="array" ref="B17:B21">TRANSPOSE(Data!F2:J2)</f>
        <v>Math</v>
      </c>
      <c r="C17" s="69">
        <f>_xlfn.XLOOKUP($C$6,Data!$C$3:$C$12,Data!F3:F12)</f>
        <v>92</v>
      </c>
      <c r="D17" s="69">
        <f>_xlfn.XLOOKUP($C$6,Data!$C$3:$C$12,Data!L$3:L$12)</f>
        <v>88</v>
      </c>
      <c r="E17" s="70">
        <f>C17-D17</f>
        <v>4</v>
      </c>
      <c r="F17" s="71" t="str">
        <f>IF(E17&gt;=0,"🔺","🔻")</f>
        <v>🔺</v>
      </c>
      <c r="G17" s="72" t="str">
        <f>IF(C17&gt;=90,"A",IF(C17&gt;=80,"B",IF(C17&gt;=70,"C",IF(C17&gt;=60,"D","F"))))</f>
        <v>A</v>
      </c>
      <c r="I17" s="13"/>
    </row>
    <row r="18" spans="2:9" ht="15">
      <c r="B18" s="3" t="str">
        <v>Science</v>
      </c>
      <c r="C18" s="21">
        <f>_xlfn.XLOOKUP($C$6,Data!$C$3:$C$12,Data!G3:G12)</f>
        <v>88</v>
      </c>
      <c r="D18" s="21">
        <f>_xlfn.XLOOKUP($C$6,Data!$C$3:$C$12,Data!M$3:M$12)</f>
        <v>85</v>
      </c>
      <c r="E18" s="22">
        <f t="shared" ref="E18:E21" si="0">C18-D18</f>
        <v>3</v>
      </c>
      <c r="F18" s="23" t="str">
        <f t="shared" ref="F18:F21" si="1">IF(E18&gt;=0,"🔺","🔻")</f>
        <v>🔺</v>
      </c>
      <c r="G18" s="4" t="str">
        <f t="shared" ref="G18:G21" si="2">IF(C18&gt;=90,"A",IF(C18&gt;=80,"B",IF(C18&gt;=70,"C",IF(C18&gt;=60,"D","F"))))</f>
        <v>B</v>
      </c>
      <c r="I18" s="13"/>
    </row>
    <row r="19" spans="2:9" ht="15">
      <c r="B19" s="3" t="str">
        <v>English</v>
      </c>
      <c r="C19" s="21">
        <f>_xlfn.XLOOKUP($C$6,Data!$C$3:$C$12,Data!H3:H12)</f>
        <v>95</v>
      </c>
      <c r="D19" s="21">
        <f>_xlfn.XLOOKUP($C$6,Data!$C$3:$C$12,Data!N$3:N$12)</f>
        <v>91</v>
      </c>
      <c r="E19" s="22">
        <f t="shared" si="0"/>
        <v>4</v>
      </c>
      <c r="F19" s="23" t="str">
        <f t="shared" si="1"/>
        <v>🔺</v>
      </c>
      <c r="G19" s="4" t="str">
        <f t="shared" si="2"/>
        <v>A</v>
      </c>
      <c r="I19" s="13"/>
    </row>
    <row r="20" spans="2:9" ht="15">
      <c r="B20" s="3" t="str">
        <v>History</v>
      </c>
      <c r="C20" s="21">
        <f>_xlfn.XLOOKUP($C$6,Data!$C$3:$C$12,Data!I3:I12)</f>
        <v>85</v>
      </c>
      <c r="D20" s="21">
        <f>_xlfn.XLOOKUP($C$6,Data!$C$3:$C$12,Data!O$3:O$12)</f>
        <v>82</v>
      </c>
      <c r="E20" s="22">
        <f t="shared" si="0"/>
        <v>3</v>
      </c>
      <c r="F20" s="23" t="str">
        <f t="shared" si="1"/>
        <v>🔺</v>
      </c>
      <c r="G20" s="4" t="str">
        <f t="shared" si="2"/>
        <v>B</v>
      </c>
    </row>
    <row r="21" spans="2:9" ht="15">
      <c r="B21" s="5" t="str">
        <v>Art</v>
      </c>
      <c r="C21" s="64">
        <f>_xlfn.XLOOKUP($C$6,Data!$C$3:$C$12,Data!J3:J12)</f>
        <v>90</v>
      </c>
      <c r="D21" s="64">
        <f>_xlfn.XLOOKUP($C$6,Data!$C$3:$C$12,Data!P$3:P$12)</f>
        <v>89</v>
      </c>
      <c r="E21" s="24">
        <f t="shared" si="0"/>
        <v>1</v>
      </c>
      <c r="F21" s="25" t="str">
        <f t="shared" si="1"/>
        <v>🔺</v>
      </c>
      <c r="G21" s="6" t="str">
        <f t="shared" si="2"/>
        <v>A</v>
      </c>
    </row>
    <row r="23" spans="2:9">
      <c r="B23" s="34" t="s">
        <v>50</v>
      </c>
      <c r="C23" s="35"/>
      <c r="D23" s="35"/>
      <c r="E23" s="35"/>
      <c r="F23" s="36" t="s">
        <v>51</v>
      </c>
      <c r="G23" s="37"/>
    </row>
    <row r="24" spans="2:9">
      <c r="B24" s="51" t="s">
        <v>61</v>
      </c>
      <c r="C24" s="52" t="str">
        <f>_xlfn.XLOOKUP(D24,$C$17:$C$22,$B$17:$B$22)</f>
        <v>English</v>
      </c>
      <c r="D24" s="53">
        <f>MAX(C17:C21)</f>
        <v>95</v>
      </c>
      <c r="F24" s="7" t="s">
        <v>26</v>
      </c>
      <c r="G24" s="15">
        <f>_xlfn.XLOOKUP($C$6,Data!C3:C12,Data!S3:S12)</f>
        <v>5</v>
      </c>
    </row>
    <row r="25" spans="2:9">
      <c r="B25" s="51" t="s">
        <v>62</v>
      </c>
      <c r="C25" s="52" t="str">
        <f t="shared" ref="C25:C27" si="3">_xlfn.XLOOKUP(D25,$C$17:$C$22,$B$17:$B$22)</f>
        <v>Math</v>
      </c>
      <c r="D25" s="52">
        <f>LARGE(C17:C21,2)</f>
        <v>92</v>
      </c>
      <c r="F25" s="7" t="s">
        <v>25</v>
      </c>
      <c r="G25" s="16">
        <f>E13</f>
        <v>0.97</v>
      </c>
    </row>
    <row r="26" spans="2:9">
      <c r="B26" s="54" t="s">
        <v>63</v>
      </c>
      <c r="C26" s="55" t="str">
        <f t="shared" si="3"/>
        <v>History</v>
      </c>
      <c r="D26" s="56">
        <f>MIN(C17:C21)</f>
        <v>85</v>
      </c>
      <c r="F26" s="7" t="s">
        <v>67</v>
      </c>
      <c r="G26" s="17">
        <f>G25-AVERAGE(Data!R3:R12)</f>
        <v>4.9999999999999822E-2</v>
      </c>
    </row>
    <row r="27" spans="2:9">
      <c r="B27" s="54" t="s">
        <v>64</v>
      </c>
      <c r="C27" s="55" t="str">
        <f t="shared" si="3"/>
        <v>Science</v>
      </c>
      <c r="D27" s="55">
        <f>SMALL(C17:C21,2)</f>
        <v>88</v>
      </c>
      <c r="F27" s="8" t="s">
        <v>68</v>
      </c>
      <c r="G27" s="18">
        <f>AVERAGE(Data!R3:R12)</f>
        <v>0.92000000000000015</v>
      </c>
    </row>
    <row r="28" spans="2:9">
      <c r="B28" s="57" t="s">
        <v>65</v>
      </c>
      <c r="C28" s="58" t="str" cm="1">
        <f t="array" ref="C28">_xlfn.XLOOKUP(D28,$E$17:$E$21,_xlfn.ANCHORARRAY($B$17))</f>
        <v>Math</v>
      </c>
      <c r="D28" s="59">
        <f>MAX(E17:E21)</f>
        <v>4</v>
      </c>
      <c r="F28" s="7" t="s">
        <v>69</v>
      </c>
      <c r="G28" s="19">
        <f>B13-AVERAGE(Data!K3:K12)</f>
        <v>8.2400000000000091</v>
      </c>
    </row>
    <row r="29" spans="2:9">
      <c r="B29" s="60" t="s">
        <v>66</v>
      </c>
      <c r="C29" s="61" t="str" cm="1">
        <f t="array" ref="C29">_xlfn.XLOOKUP(D29,$E$17:$E$21,_xlfn.ANCHORARRAY($B$17))</f>
        <v>Art</v>
      </c>
      <c r="D29" s="62">
        <f>MIN(E17:E21)</f>
        <v>1</v>
      </c>
      <c r="E29" s="9"/>
      <c r="F29" s="10" t="s">
        <v>70</v>
      </c>
      <c r="G29" s="20">
        <f>AVERAGE(Data!K3:K12)</f>
        <v>81.759999999999991</v>
      </c>
    </row>
    <row r="31" spans="2:9">
      <c r="B31" s="34" t="s">
        <v>52</v>
      </c>
      <c r="C31" s="35"/>
      <c r="D31" s="35"/>
      <c r="E31" s="35"/>
      <c r="F31" s="35"/>
      <c r="G31" s="37"/>
    </row>
    <row r="32" spans="2:9" ht="48.45" customHeight="1">
      <c r="B32" s="65" t="str">
        <f>$C$6&amp;" is performing at "&amp;IF(B13&gt;=90,"an excellent",IF(B13&gt;=80,"a strong",IF(B13&gt;=70,"a satisfactory",IF(B13&gt;=60,"a below-average","a struggling"))))&amp;" level overall, with an average score of "&amp;TEXT(B13,"0.0")&amp;" (Grade "&amp;G13&amp;"). "&amp;IF(B13-C13&gt;=2,"Notable improvement vs. prior term. ",IF(B13-C13&lt;=-2,"Performance has declined vs. prior term — follow-up recommended. ","Performance is consistent with prior term. "))&amp;"Strongest area: "&amp;INDEX($B$17:$B$21,MATCH(MAX($C$17:$C$21),$C$17:$C$21,0))&amp;". Focus area: "&amp;INDEX($B$17:$B$21,MATCH(MIN($C$17:$C$21),$C$17:$C$21,0))&amp;". Attendance is "&amp;IF(G25&gt;=0.95,"excellent",IF(G25&gt;=0.85,"acceptable but should be monitored","a concern requiring intervention"))&amp;"."</f>
        <v>Emma Johnson is performing at an excellent level overall, with an average score of 90.0 (Grade A). Notable improvement vs. prior term. Strongest area: English. Focus area: History. Attendance is excellent.</v>
      </c>
      <c r="C32" s="66"/>
      <c r="D32" s="66"/>
      <c r="E32" s="66"/>
      <c r="F32" s="66"/>
      <c r="G32" s="67"/>
    </row>
  </sheetData>
  <mergeCells count="1">
    <mergeCell ref="B32:G32"/>
  </mergeCells>
  <conditionalFormatting sqref="C17:D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1AFE87-7CE6-4C9F-B915-C6C1C62E897D}">
          <x14:formula1>
            <xm:f>Data!$C$3:$C$12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F3D0-3E7D-4CD4-BE4B-35CA689C7313}">
  <dimension ref="B2:V20"/>
  <sheetViews>
    <sheetView topLeftCell="B1" workbookViewId="0">
      <selection activeCell="S16" sqref="S16"/>
    </sheetView>
  </sheetViews>
  <sheetFormatPr defaultColWidth="8.796875" defaultRowHeight="13.8"/>
  <cols>
    <col min="1" max="1" width="3.296875" customWidth="1"/>
    <col min="2" max="2" width="9.69921875" bestFit="1" customWidth="1"/>
    <col min="3" max="3" width="10.5" customWidth="1"/>
    <col min="4" max="4" width="8.796875" style="1" customWidth="1"/>
    <col min="5" max="5" width="9.5" style="1" bestFit="1" customWidth="1"/>
    <col min="6" max="6" width="9.19921875" style="1" customWidth="1"/>
    <col min="7" max="7" width="6.796875" style="1" customWidth="1"/>
    <col min="8" max="8" width="8.5" style="1" customWidth="1"/>
    <col min="9" max="9" width="7.5" style="1" customWidth="1"/>
    <col min="10" max="11" width="7" style="1" customWidth="1"/>
    <col min="12" max="12" width="12.19921875" style="1" customWidth="1"/>
    <col min="13" max="13" width="14.69921875" style="1" customWidth="1"/>
    <col min="14" max="14" width="13.296875" style="1" customWidth="1"/>
    <col min="15" max="15" width="13.5" style="1" bestFit="1" customWidth="1"/>
    <col min="16" max="17" width="11.19921875" style="1" customWidth="1"/>
    <col min="18" max="18" width="13.69921875" style="1" customWidth="1"/>
    <col min="19" max="19" width="11.796875" style="1" customWidth="1"/>
    <col min="23" max="23" width="30.69921875" customWidth="1"/>
  </cols>
  <sheetData>
    <row r="2" spans="2:22">
      <c r="B2" s="26" t="s">
        <v>13</v>
      </c>
      <c r="C2" s="27" t="s">
        <v>14</v>
      </c>
      <c r="D2" s="27" t="s">
        <v>59</v>
      </c>
      <c r="E2" s="27" t="s">
        <v>60</v>
      </c>
      <c r="F2" s="27" t="s">
        <v>15</v>
      </c>
      <c r="G2" s="27" t="s">
        <v>16</v>
      </c>
      <c r="H2" s="27" t="s">
        <v>17</v>
      </c>
      <c r="I2" s="27" t="s">
        <v>18</v>
      </c>
      <c r="J2" s="27" t="s">
        <v>19</v>
      </c>
      <c r="K2" s="27" t="s">
        <v>57</v>
      </c>
      <c r="L2" s="28" t="s">
        <v>20</v>
      </c>
      <c r="M2" s="28" t="s">
        <v>21</v>
      </c>
      <c r="N2" s="28" t="s">
        <v>22</v>
      </c>
      <c r="O2" s="28" t="s">
        <v>23</v>
      </c>
      <c r="P2" s="28" t="s">
        <v>24</v>
      </c>
      <c r="Q2" s="28" t="s">
        <v>58</v>
      </c>
      <c r="R2" s="27" t="s">
        <v>25</v>
      </c>
      <c r="S2" s="27" t="s">
        <v>26</v>
      </c>
      <c r="T2" s="63"/>
      <c r="V2" s="11"/>
    </row>
    <row r="3" spans="2:22">
      <c r="B3" t="s">
        <v>27</v>
      </c>
      <c r="C3" t="s">
        <v>28</v>
      </c>
      <c r="D3" s="1">
        <v>10</v>
      </c>
      <c r="E3" s="1" t="s">
        <v>29</v>
      </c>
      <c r="F3" s="1">
        <v>92</v>
      </c>
      <c r="G3" s="1">
        <v>88</v>
      </c>
      <c r="H3" s="1">
        <v>95</v>
      </c>
      <c r="I3" s="1">
        <v>85</v>
      </c>
      <c r="J3" s="1">
        <v>90</v>
      </c>
      <c r="K3" s="1">
        <f>AVERAGE(Data!$F3:$J3)</f>
        <v>90</v>
      </c>
      <c r="L3" s="1">
        <v>88</v>
      </c>
      <c r="M3" s="1">
        <v>85</v>
      </c>
      <c r="N3" s="1">
        <v>91</v>
      </c>
      <c r="O3" s="1">
        <v>82</v>
      </c>
      <c r="P3" s="1">
        <v>89</v>
      </c>
      <c r="Q3" s="1">
        <f>AVERAGE(Data!$L3:$P3)</f>
        <v>87</v>
      </c>
      <c r="R3" s="29">
        <v>0.97</v>
      </c>
      <c r="S3" s="1">
        <v>5</v>
      </c>
      <c r="T3" s="30"/>
      <c r="V3" s="11"/>
    </row>
    <row r="4" spans="2:22">
      <c r="B4" t="s">
        <v>30</v>
      </c>
      <c r="C4" t="s">
        <v>31</v>
      </c>
      <c r="D4" s="1">
        <v>10</v>
      </c>
      <c r="E4" s="1" t="s">
        <v>29</v>
      </c>
      <c r="F4" s="1">
        <v>78</v>
      </c>
      <c r="G4" s="1">
        <v>82</v>
      </c>
      <c r="H4" s="1">
        <v>74</v>
      </c>
      <c r="I4" s="1">
        <v>80</v>
      </c>
      <c r="J4" s="1">
        <v>85</v>
      </c>
      <c r="K4" s="1">
        <f>AVERAGE(Data!$F4:$J4)</f>
        <v>79.8</v>
      </c>
      <c r="L4" s="1">
        <v>82</v>
      </c>
      <c r="M4" s="1">
        <v>80</v>
      </c>
      <c r="N4" s="1">
        <v>78</v>
      </c>
      <c r="O4" s="1">
        <v>76</v>
      </c>
      <c r="P4" s="1">
        <v>80</v>
      </c>
      <c r="Q4" s="1">
        <f>AVERAGE(Data!$L4:$P4)</f>
        <v>79.2</v>
      </c>
      <c r="R4" s="29">
        <v>0.91</v>
      </c>
      <c r="S4" s="1">
        <v>16</v>
      </c>
      <c r="T4" s="30"/>
      <c r="V4" s="11"/>
    </row>
    <row r="5" spans="2:22">
      <c r="B5" t="s">
        <v>32</v>
      </c>
      <c r="C5" t="s">
        <v>33</v>
      </c>
      <c r="D5" s="1">
        <v>10</v>
      </c>
      <c r="E5" s="1" t="s">
        <v>34</v>
      </c>
      <c r="F5" s="1">
        <v>65</v>
      </c>
      <c r="G5" s="1">
        <v>70</v>
      </c>
      <c r="H5" s="1">
        <v>72</v>
      </c>
      <c r="I5" s="1">
        <v>68</v>
      </c>
      <c r="J5" s="1">
        <v>75</v>
      </c>
      <c r="K5" s="1">
        <f>AVERAGE(Data!$F5:$J5)</f>
        <v>70</v>
      </c>
      <c r="L5" s="1">
        <v>70</v>
      </c>
      <c r="M5" s="1">
        <v>74</v>
      </c>
      <c r="N5" s="1">
        <v>75</v>
      </c>
      <c r="O5" s="1">
        <v>72</v>
      </c>
      <c r="P5" s="1">
        <v>78</v>
      </c>
      <c r="Q5" s="1">
        <f>AVERAGE(Data!$L5:$P5)</f>
        <v>73.8</v>
      </c>
      <c r="R5" s="29">
        <v>0.84</v>
      </c>
      <c r="S5" s="1">
        <v>29</v>
      </c>
      <c r="T5" s="31"/>
    </row>
    <row r="6" spans="2:22">
      <c r="B6" t="s">
        <v>35</v>
      </c>
      <c r="C6" t="s">
        <v>36</v>
      </c>
      <c r="D6" s="1">
        <v>10</v>
      </c>
      <c r="E6" s="1" t="s">
        <v>34</v>
      </c>
      <c r="F6" s="1">
        <v>95</v>
      </c>
      <c r="G6" s="1">
        <v>97</v>
      </c>
      <c r="H6" s="1">
        <v>89</v>
      </c>
      <c r="I6" s="1">
        <v>92</v>
      </c>
      <c r="J6" s="1">
        <v>80</v>
      </c>
      <c r="K6" s="1">
        <f>AVERAGE(Data!$F6:$J6)</f>
        <v>90.6</v>
      </c>
      <c r="L6" s="1">
        <v>90</v>
      </c>
      <c r="M6" s="1">
        <v>92</v>
      </c>
      <c r="N6" s="1">
        <v>87</v>
      </c>
      <c r="O6" s="1">
        <v>88</v>
      </c>
      <c r="P6" s="1">
        <v>82</v>
      </c>
      <c r="Q6" s="1">
        <f>AVERAGE(Data!$L6:$P6)</f>
        <v>87.8</v>
      </c>
      <c r="R6" s="29">
        <v>0.99</v>
      </c>
      <c r="S6" s="1">
        <v>2</v>
      </c>
      <c r="T6" s="31"/>
    </row>
    <row r="7" spans="2:22">
      <c r="B7" t="s">
        <v>37</v>
      </c>
      <c r="C7" t="s">
        <v>38</v>
      </c>
      <c r="D7" s="1">
        <v>10</v>
      </c>
      <c r="E7" s="1" t="s">
        <v>29</v>
      </c>
      <c r="F7" s="1">
        <v>71</v>
      </c>
      <c r="G7" s="1">
        <v>75</v>
      </c>
      <c r="H7" s="1">
        <v>80</v>
      </c>
      <c r="I7" s="1">
        <v>78</v>
      </c>
      <c r="J7" s="1">
        <v>92</v>
      </c>
      <c r="K7" s="1">
        <f>AVERAGE(Data!$F7:$J7)</f>
        <v>79.2</v>
      </c>
      <c r="L7" s="1">
        <v>75</v>
      </c>
      <c r="M7" s="1">
        <v>78</v>
      </c>
      <c r="N7" s="1">
        <v>76</v>
      </c>
      <c r="O7" s="1">
        <v>74</v>
      </c>
      <c r="P7" s="1">
        <v>88</v>
      </c>
      <c r="Q7" s="1">
        <f>AVERAGE(Data!$L7:$P7)</f>
        <v>78.2</v>
      </c>
      <c r="R7" s="29">
        <v>0.93</v>
      </c>
      <c r="S7" s="1">
        <v>12</v>
      </c>
      <c r="T7" s="1"/>
    </row>
    <row r="8" spans="2:22">
      <c r="B8" t="s">
        <v>39</v>
      </c>
      <c r="C8" t="s">
        <v>40</v>
      </c>
      <c r="D8" s="1">
        <v>10</v>
      </c>
      <c r="E8" s="1" t="s">
        <v>41</v>
      </c>
      <c r="F8" s="1">
        <v>83</v>
      </c>
      <c r="G8" s="1">
        <v>79</v>
      </c>
      <c r="H8" s="1">
        <v>85</v>
      </c>
      <c r="I8" s="1">
        <v>90</v>
      </c>
      <c r="J8" s="1">
        <v>78</v>
      </c>
      <c r="K8" s="1">
        <f>AVERAGE(Data!$F8:$J8)</f>
        <v>83</v>
      </c>
      <c r="L8" s="1">
        <v>80</v>
      </c>
      <c r="M8" s="1">
        <v>82</v>
      </c>
      <c r="N8" s="1">
        <v>83</v>
      </c>
      <c r="O8" s="1">
        <v>85</v>
      </c>
      <c r="P8" s="1">
        <v>80</v>
      </c>
      <c r="Q8" s="1">
        <f>AVERAGE(Data!$L8:$P8)</f>
        <v>82</v>
      </c>
      <c r="R8" s="29">
        <v>0.95</v>
      </c>
      <c r="S8" s="1">
        <v>9</v>
      </c>
      <c r="T8" s="1"/>
    </row>
    <row r="9" spans="2:22">
      <c r="B9" t="s">
        <v>42</v>
      </c>
      <c r="C9" t="s">
        <v>43</v>
      </c>
      <c r="D9" s="1">
        <v>10</v>
      </c>
      <c r="E9" s="1" t="s">
        <v>41</v>
      </c>
      <c r="F9" s="1">
        <v>88</v>
      </c>
      <c r="G9" s="1">
        <v>92</v>
      </c>
      <c r="H9" s="1">
        <v>90</v>
      </c>
      <c r="I9" s="1">
        <v>86</v>
      </c>
      <c r="J9" s="1">
        <v>94</v>
      </c>
      <c r="K9" s="1">
        <f>AVERAGE(Data!$F9:$J9)</f>
        <v>90</v>
      </c>
      <c r="L9" s="1">
        <v>85</v>
      </c>
      <c r="M9" s="1">
        <v>88</v>
      </c>
      <c r="N9" s="1">
        <v>92</v>
      </c>
      <c r="O9" s="1">
        <v>84</v>
      </c>
      <c r="P9" s="1">
        <v>91</v>
      </c>
      <c r="Q9" s="1">
        <f>AVERAGE(Data!$L9:$P9)</f>
        <v>88</v>
      </c>
      <c r="R9" s="29">
        <v>0.96</v>
      </c>
      <c r="S9" s="1">
        <v>7</v>
      </c>
      <c r="T9" s="1"/>
    </row>
    <row r="10" spans="2:22">
      <c r="B10" t="s">
        <v>44</v>
      </c>
      <c r="C10" t="s">
        <v>45</v>
      </c>
      <c r="D10" s="1">
        <v>10</v>
      </c>
      <c r="E10" s="1" t="s">
        <v>34</v>
      </c>
      <c r="F10" s="1">
        <v>58</v>
      </c>
      <c r="G10" s="1">
        <v>62</v>
      </c>
      <c r="H10" s="1">
        <v>68</v>
      </c>
      <c r="I10" s="1">
        <v>65</v>
      </c>
      <c r="J10" s="1">
        <v>70</v>
      </c>
      <c r="K10" s="1">
        <f>AVERAGE(Data!$F10:$J10)</f>
        <v>64.599999999999994</v>
      </c>
      <c r="L10" s="1">
        <v>65</v>
      </c>
      <c r="M10" s="1">
        <v>68</v>
      </c>
      <c r="N10" s="1">
        <v>71</v>
      </c>
      <c r="O10" s="1">
        <v>68</v>
      </c>
      <c r="P10" s="1">
        <v>72</v>
      </c>
      <c r="Q10" s="1">
        <f>AVERAGE(Data!$L10:$P10)</f>
        <v>68.8</v>
      </c>
      <c r="R10" s="29">
        <v>0.78</v>
      </c>
      <c r="S10" s="1">
        <v>40</v>
      </c>
      <c r="T10" s="1"/>
    </row>
    <row r="11" spans="2:22">
      <c r="B11" t="s">
        <v>46</v>
      </c>
      <c r="C11" t="s">
        <v>47</v>
      </c>
      <c r="D11" s="1">
        <v>10</v>
      </c>
      <c r="E11" s="1" t="s">
        <v>29</v>
      </c>
      <c r="F11" s="1">
        <v>94</v>
      </c>
      <c r="G11" s="1">
        <v>91</v>
      </c>
      <c r="H11" s="1">
        <v>96</v>
      </c>
      <c r="I11" s="1">
        <v>93</v>
      </c>
      <c r="J11" s="1">
        <v>88</v>
      </c>
      <c r="K11" s="1">
        <f>AVERAGE(Data!$F11:$J11)</f>
        <v>92.4</v>
      </c>
      <c r="L11" s="1">
        <v>91</v>
      </c>
      <c r="M11" s="1">
        <v>89</v>
      </c>
      <c r="N11" s="1">
        <v>94</v>
      </c>
      <c r="O11" s="1">
        <v>91</v>
      </c>
      <c r="P11" s="1">
        <v>87</v>
      </c>
      <c r="Q11" s="1">
        <f>AVERAGE(Data!$L11:$P11)</f>
        <v>90.4</v>
      </c>
      <c r="R11" s="29">
        <v>0.98</v>
      </c>
      <c r="S11" s="1">
        <v>4</v>
      </c>
      <c r="T11" s="1"/>
    </row>
    <row r="12" spans="2:22">
      <c r="B12" t="s">
        <v>48</v>
      </c>
      <c r="C12" t="s">
        <v>49</v>
      </c>
      <c r="D12" s="1">
        <v>10</v>
      </c>
      <c r="E12" s="1" t="s">
        <v>41</v>
      </c>
      <c r="F12" s="1">
        <v>76</v>
      </c>
      <c r="G12" s="1">
        <v>74</v>
      </c>
      <c r="H12" s="1">
        <v>78</v>
      </c>
      <c r="I12" s="1">
        <v>82</v>
      </c>
      <c r="J12" s="1">
        <v>80</v>
      </c>
      <c r="K12" s="1">
        <f>AVERAGE(Data!$F12:$J12)</f>
        <v>78</v>
      </c>
      <c r="L12" s="1">
        <v>80</v>
      </c>
      <c r="M12" s="1">
        <v>78</v>
      </c>
      <c r="N12" s="1">
        <v>75</v>
      </c>
      <c r="O12" s="1">
        <v>85</v>
      </c>
      <c r="P12" s="1">
        <v>78</v>
      </c>
      <c r="Q12" s="1">
        <f>AVERAGE(Data!$L12:$P12)</f>
        <v>79.2</v>
      </c>
      <c r="R12" s="29">
        <v>0.89</v>
      </c>
      <c r="S12" s="1">
        <v>20</v>
      </c>
      <c r="T12" s="1"/>
    </row>
    <row r="16" spans="2:22" ht="184.2" customHeight="1"/>
    <row r="20" spans="3:3">
      <c r="C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LENOVO</cp:lastModifiedBy>
  <dcterms:created xsi:type="dcterms:W3CDTF">2026-05-01T00:47:08Z</dcterms:created>
  <dcterms:modified xsi:type="dcterms:W3CDTF">2026-07-10T18:13:19Z</dcterms:modified>
</cp:coreProperties>
</file>